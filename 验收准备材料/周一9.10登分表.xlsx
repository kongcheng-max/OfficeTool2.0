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33116</author>
  </authors>
  <commentList>
    <comment ref="V2" authorId="0">
      <text>
        <r>
          <rPr>
            <b/>
            <sz val="9"/>
            <rFont val="宋体"/>
            <charset val="134"/>
          </rPr>
          <t>33116:</t>
        </r>
        <r>
          <rPr>
            <sz val="9"/>
            <rFont val="宋体"/>
            <charset val="134"/>
          </rPr>
          <t xml:space="preserve">
填写的是素质成绩（800m）的时间</t>
        </r>
      </text>
    </comment>
    <comment ref="W2" authorId="0">
      <text>
        <r>
          <rPr>
            <b/>
            <sz val="9"/>
            <rFont val="宋体"/>
            <charset val="134"/>
          </rPr>
          <t>33116:</t>
        </r>
        <r>
          <rPr>
            <sz val="9"/>
            <rFont val="宋体"/>
            <charset val="134"/>
          </rPr>
          <t xml:space="preserve">
填写分数，按照一百分写</t>
        </r>
      </text>
    </comment>
    <comment ref="X2" authorId="0">
      <text>
        <r>
          <rPr>
            <b/>
            <sz val="9"/>
            <rFont val="宋体"/>
            <charset val="134"/>
          </rPr>
          <t>33116:</t>
        </r>
        <r>
          <rPr>
            <sz val="9"/>
            <rFont val="宋体"/>
            <charset val="134"/>
          </rPr>
          <t xml:space="preserve">
填写的是素质成绩（50m）的时间</t>
        </r>
      </text>
    </comment>
    <comment ref="Y2" authorId="0">
      <text>
        <r>
          <rPr>
            <b/>
            <sz val="9"/>
            <rFont val="宋体"/>
            <charset val="134"/>
          </rPr>
          <t>33116:</t>
        </r>
        <r>
          <rPr>
            <sz val="9"/>
            <rFont val="宋体"/>
            <charset val="134"/>
          </rPr>
          <t xml:space="preserve">
填写分数，按照100分写</t>
        </r>
      </text>
    </comment>
    <comment ref="Z2" authorId="0">
      <text>
        <r>
          <rPr>
            <b/>
            <sz val="9"/>
            <rFont val="宋体"/>
            <charset val="134"/>
          </rPr>
          <t>33116:</t>
        </r>
        <r>
          <rPr>
            <sz val="9"/>
            <rFont val="宋体"/>
            <charset val="134"/>
          </rPr>
          <t xml:space="preserve">
填写技能得分</t>
        </r>
      </text>
    </comment>
    <comment ref="AA2" authorId="0">
      <text>
        <r>
          <rPr>
            <b/>
            <sz val="9"/>
            <rFont val="宋体"/>
            <charset val="134"/>
          </rPr>
          <t>33116:</t>
        </r>
        <r>
          <rPr>
            <sz val="9"/>
            <rFont val="宋体"/>
            <charset val="134"/>
          </rPr>
          <t xml:space="preserve">
填写分数，按照100分写
</t>
        </r>
      </text>
    </comment>
    <comment ref="AB2" authorId="0">
      <text>
        <r>
          <rPr>
            <b/>
            <sz val="9"/>
            <rFont val="宋体"/>
            <charset val="134"/>
          </rPr>
          <t>33116:</t>
        </r>
        <r>
          <rPr>
            <sz val="9"/>
            <rFont val="宋体"/>
            <charset val="134"/>
          </rPr>
          <t xml:space="preserve">
填写技能分数</t>
        </r>
      </text>
    </comment>
    <comment ref="AC2" authorId="0">
      <text>
        <r>
          <rPr>
            <b/>
            <sz val="9"/>
            <rFont val="宋体"/>
            <charset val="134"/>
          </rPr>
          <t>33116:</t>
        </r>
        <r>
          <rPr>
            <sz val="9"/>
            <rFont val="宋体"/>
            <charset val="134"/>
          </rPr>
          <t xml:space="preserve">
填写分数，按照100分写
</t>
        </r>
      </text>
    </comment>
  </commentList>
</comments>
</file>

<file path=xl/sharedStrings.xml><?xml version="1.0" encoding="utf-8"?>
<sst xmlns="http://schemas.openxmlformats.org/spreadsheetml/2006/main" count="149" uniqueCount="111">
  <si>
    <t>学生课堂考勤表</t>
  </si>
  <si>
    <t>序号</t>
  </si>
  <si>
    <t>学号</t>
  </si>
  <si>
    <t>姓名</t>
  </si>
  <si>
    <t>月</t>
  </si>
  <si>
    <t>平 时 成
绩 总 评</t>
  </si>
  <si>
    <t>项目</t>
  </si>
  <si>
    <t>评分</t>
  </si>
  <si>
    <t>考试成绩总评</t>
  </si>
  <si>
    <t>总成绩</t>
  </si>
  <si>
    <t>日</t>
  </si>
  <si>
    <t>202300100</t>
  </si>
  <si>
    <t>邹贤杰</t>
  </si>
  <si>
    <t>202300105</t>
  </si>
  <si>
    <t>卢美芯</t>
  </si>
  <si>
    <t>202300106</t>
  </si>
  <si>
    <t>张心亮</t>
  </si>
  <si>
    <t>202300112</t>
  </si>
  <si>
    <t>钟如意</t>
  </si>
  <si>
    <t>202300125</t>
  </si>
  <si>
    <t>丁宾</t>
  </si>
  <si>
    <t>202300127</t>
  </si>
  <si>
    <t>赖鑫宇</t>
  </si>
  <si>
    <t>202300138</t>
  </si>
  <si>
    <t>罗致成</t>
  </si>
  <si>
    <t>202300141</t>
  </si>
  <si>
    <t>黄佳文</t>
  </si>
  <si>
    <t>202300145</t>
  </si>
  <si>
    <t>吴可凡</t>
  </si>
  <si>
    <t>202300146</t>
  </si>
  <si>
    <t>黄雨珊</t>
  </si>
  <si>
    <t>202300304</t>
  </si>
  <si>
    <t>杨腾</t>
  </si>
  <si>
    <t>202300307</t>
  </si>
  <si>
    <t>邓天成</t>
  </si>
  <si>
    <t>202300337</t>
  </si>
  <si>
    <t>乐晨希</t>
  </si>
  <si>
    <t>202300347</t>
  </si>
  <si>
    <t>陈龙</t>
  </si>
  <si>
    <t>202301002</t>
  </si>
  <si>
    <t>胡锶钒</t>
  </si>
  <si>
    <t>202301025</t>
  </si>
  <si>
    <t>陈文博</t>
  </si>
  <si>
    <t>202301038</t>
  </si>
  <si>
    <t>金文凯</t>
  </si>
  <si>
    <t>202301045</t>
  </si>
  <si>
    <t>邓毅杰</t>
  </si>
  <si>
    <t>202301207</t>
  </si>
  <si>
    <t>谢子谦</t>
  </si>
  <si>
    <t>202301208</t>
  </si>
  <si>
    <t>熊世泳</t>
  </si>
  <si>
    <t>202301209</t>
  </si>
  <si>
    <t>周铭阳</t>
  </si>
  <si>
    <t>202301215</t>
  </si>
  <si>
    <t>李绍昕</t>
  </si>
  <si>
    <t>202301217</t>
  </si>
  <si>
    <t>邹聿安</t>
  </si>
  <si>
    <t>202301227</t>
  </si>
  <si>
    <t>毛志文</t>
  </si>
  <si>
    <t>202301235</t>
  </si>
  <si>
    <t>王国敬</t>
  </si>
  <si>
    <t>202301302</t>
  </si>
  <si>
    <t>熊雨帆</t>
  </si>
  <si>
    <t>202301315</t>
  </si>
  <si>
    <t>李振阳</t>
  </si>
  <si>
    <t>202301345</t>
  </si>
  <si>
    <t>占强文</t>
  </si>
  <si>
    <t>202301347</t>
  </si>
  <si>
    <t>过承昊</t>
  </si>
  <si>
    <t>202301401</t>
  </si>
  <si>
    <t>程懿馗</t>
  </si>
  <si>
    <t>202301403</t>
  </si>
  <si>
    <t>刘晨旭</t>
  </si>
  <si>
    <t>202301426</t>
  </si>
  <si>
    <t>郑全瑞</t>
  </si>
  <si>
    <t>202301427</t>
  </si>
  <si>
    <t>谢红楠</t>
  </si>
  <si>
    <t>202301429</t>
  </si>
  <si>
    <t>肖伟</t>
  </si>
  <si>
    <t>202301433</t>
  </si>
  <si>
    <t>彭文婷</t>
  </si>
  <si>
    <t>202303710</t>
  </si>
  <si>
    <t>高宇</t>
  </si>
  <si>
    <t>202304306</t>
  </si>
  <si>
    <t>房宇</t>
  </si>
  <si>
    <t>202304310</t>
  </si>
  <si>
    <t>张翼航</t>
  </si>
  <si>
    <t>202304318</t>
  </si>
  <si>
    <t>罗子腾</t>
  </si>
  <si>
    <t>202304412</t>
  </si>
  <si>
    <t>方正俊</t>
  </si>
  <si>
    <t>202304442</t>
  </si>
  <si>
    <t>陈晓洁</t>
  </si>
  <si>
    <t>202304443</t>
  </si>
  <si>
    <t>周凌静</t>
  </si>
  <si>
    <t>202305209</t>
  </si>
  <si>
    <t>刘文超</t>
  </si>
  <si>
    <t>202305221</t>
  </si>
  <si>
    <t>肖昕</t>
  </si>
  <si>
    <t>202305224</t>
  </si>
  <si>
    <t>张培林</t>
  </si>
  <si>
    <t>202305238</t>
  </si>
  <si>
    <t>邓坤</t>
  </si>
  <si>
    <t>202305245</t>
  </si>
  <si>
    <t>朱强先</t>
  </si>
  <si>
    <t>202305300</t>
  </si>
  <si>
    <t>邹维弋</t>
  </si>
  <si>
    <t>202305335</t>
  </si>
  <si>
    <t>肖晴</t>
  </si>
  <si>
    <t>202305337</t>
  </si>
  <si>
    <t>宋巧成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</si>
</sst>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8"/>
      <name val="楷体"/>
      <charset val="134"/>
    </font>
    <font>
      <sz val="8"/>
      <color theme="1"/>
      <name val="楷体"/>
      <charset val="134"/>
    </font>
    <font>
      <b/>
      <sz val="8"/>
      <name val="楷体"/>
      <charset val="134"/>
    </font>
    <font>
      <sz val="10"/>
      <name val="Times New Roman"/>
      <charset val="0"/>
    </font>
    <font>
      <sz val="10"/>
      <name val="宋体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2" borderId="10" applyNumberFormat="0" applyFon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22" fillId="29" borderId="11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 wrapText="1" shrinkToFit="1"/>
    </xf>
    <xf numFmtId="49" fontId="1" fillId="0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76" fontId="2" fillId="0" borderId="3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9"/>
  <sheetViews>
    <sheetView tabSelected="1" zoomScale="160" zoomScaleNormal="160" workbookViewId="0">
      <pane xSplit="3" ySplit="3" topLeftCell="D4" activePane="bottomRight" state="frozen"/>
      <selection/>
      <selection pane="topRight"/>
      <selection pane="bottomLeft"/>
      <selection pane="bottomRight" activeCell="V12" sqref="V12"/>
    </sheetView>
  </sheetViews>
  <sheetFormatPr defaultColWidth="9" defaultRowHeight="9.5"/>
  <cols>
    <col min="1" max="1" width="4.55454545454545" style="2" customWidth="1"/>
    <col min="2" max="2" width="8.44545454545455" style="2" customWidth="1"/>
    <col min="3" max="3" width="6.10909090909091" style="2" customWidth="1"/>
    <col min="4" max="20" width="3" style="2" customWidth="1"/>
    <col min="21" max="21" width="4.55454545454545" style="2" customWidth="1"/>
    <col min="22" max="22" width="4.55454545454545" style="3" customWidth="1"/>
    <col min="23" max="23" width="4.55454545454545" style="2" customWidth="1"/>
    <col min="24" max="24" width="5.33636363636364" style="3" customWidth="1"/>
    <col min="25" max="25" width="4.55454545454545" style="2" customWidth="1"/>
    <col min="26" max="26" width="5.33636363636364" style="2" customWidth="1"/>
    <col min="27" max="29" width="4.55454545454545" style="2" customWidth="1"/>
    <col min="30" max="30" width="5.21818181818182" style="2" customWidth="1"/>
    <col min="31" max="31" width="6.10909090909091" style="2" customWidth="1"/>
    <col min="32" max="16384" width="9" style="2"/>
  </cols>
  <sheetData>
    <row r="1" s="1" customFormat="1" spans="1:3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14"/>
    </row>
    <row r="2" s="1" customFormat="1" spans="1:31">
      <c r="A2" s="6" t="s">
        <v>1</v>
      </c>
      <c r="B2" s="6" t="s">
        <v>2</v>
      </c>
      <c r="C2" s="6" t="s">
        <v>3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4</v>
      </c>
      <c r="O2" s="6" t="s">
        <v>4</v>
      </c>
      <c r="P2" s="6" t="s">
        <v>4</v>
      </c>
      <c r="Q2" s="6" t="s">
        <v>4</v>
      </c>
      <c r="R2" s="6" t="s">
        <v>4</v>
      </c>
      <c r="S2" s="6" t="s">
        <v>4</v>
      </c>
      <c r="T2" s="6" t="s">
        <v>4</v>
      </c>
      <c r="U2" s="6" t="s">
        <v>5</v>
      </c>
      <c r="V2" s="10" t="s">
        <v>6</v>
      </c>
      <c r="W2" s="10" t="s">
        <v>7</v>
      </c>
      <c r="X2" s="10" t="s">
        <v>6</v>
      </c>
      <c r="Y2" s="10" t="s">
        <v>7</v>
      </c>
      <c r="Z2" s="10" t="s">
        <v>6</v>
      </c>
      <c r="AA2" s="10" t="s">
        <v>7</v>
      </c>
      <c r="AB2" s="10" t="s">
        <v>6</v>
      </c>
      <c r="AC2" s="10" t="s">
        <v>7</v>
      </c>
      <c r="AD2" s="6" t="s">
        <v>8</v>
      </c>
      <c r="AE2" s="6" t="s">
        <v>9</v>
      </c>
    </row>
    <row r="3" s="1" customFormat="1" spans="1:31">
      <c r="A3" s="6"/>
      <c r="B3" s="6"/>
      <c r="C3" s="6"/>
      <c r="D3" s="6" t="s">
        <v>10</v>
      </c>
      <c r="E3" s="6" t="s">
        <v>10</v>
      </c>
      <c r="F3" s="6" t="s">
        <v>10</v>
      </c>
      <c r="G3" s="6" t="s">
        <v>10</v>
      </c>
      <c r="H3" s="6" t="s">
        <v>10</v>
      </c>
      <c r="I3" s="6" t="s">
        <v>10</v>
      </c>
      <c r="J3" s="6" t="s">
        <v>10</v>
      </c>
      <c r="K3" s="6" t="s">
        <v>10</v>
      </c>
      <c r="L3" s="6" t="s">
        <v>10</v>
      </c>
      <c r="M3" s="6" t="s">
        <v>10</v>
      </c>
      <c r="N3" s="6" t="s">
        <v>10</v>
      </c>
      <c r="O3" s="6" t="s">
        <v>10</v>
      </c>
      <c r="P3" s="6" t="s">
        <v>10</v>
      </c>
      <c r="Q3" s="6" t="s">
        <v>10</v>
      </c>
      <c r="R3" s="6" t="s">
        <v>10</v>
      </c>
      <c r="S3" s="6" t="s">
        <v>10</v>
      </c>
      <c r="T3" s="6" t="s">
        <v>10</v>
      </c>
      <c r="U3" s="6"/>
      <c r="V3" s="10">
        <v>1</v>
      </c>
      <c r="W3" s="10"/>
      <c r="X3" s="10">
        <v>2</v>
      </c>
      <c r="Y3" s="10"/>
      <c r="Z3" s="10">
        <v>1</v>
      </c>
      <c r="AA3" s="10"/>
      <c r="AB3" s="10">
        <v>2</v>
      </c>
      <c r="AC3" s="10"/>
      <c r="AD3" s="6"/>
      <c r="AE3" s="6"/>
    </row>
    <row r="4" ht="13" spans="1:31">
      <c r="A4" s="6">
        <v>1</v>
      </c>
      <c r="B4" s="7" t="s">
        <v>11</v>
      </c>
      <c r="C4" s="8" t="s">
        <v>12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1">
        <v>100</v>
      </c>
      <c r="V4" s="12">
        <v>19</v>
      </c>
      <c r="W4" s="11">
        <v>100</v>
      </c>
      <c r="X4" s="12">
        <v>6.8</v>
      </c>
      <c r="Y4" s="11">
        <v>95</v>
      </c>
      <c r="Z4" s="11">
        <v>20.38</v>
      </c>
      <c r="AA4" s="11">
        <v>95</v>
      </c>
      <c r="AB4" s="11">
        <v>15.21</v>
      </c>
      <c r="AC4" s="11">
        <v>65</v>
      </c>
      <c r="AD4" s="11">
        <f>AC4*0.3+AA4*0.3+Y4*0.2+W4*0.2</f>
        <v>87</v>
      </c>
      <c r="AE4" s="11">
        <f t="shared" ref="AE4:AE9" si="0">AD4*0.6+U4*0.4</f>
        <v>92.2</v>
      </c>
    </row>
    <row r="5" ht="13" spans="1:31">
      <c r="A5" s="6">
        <v>2</v>
      </c>
      <c r="B5" s="7" t="s">
        <v>13</v>
      </c>
      <c r="C5" s="8" t="s">
        <v>14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1">
        <v>80</v>
      </c>
      <c r="V5" s="12">
        <v>1.8</v>
      </c>
      <c r="W5" s="11">
        <v>78</v>
      </c>
      <c r="X5" s="12">
        <v>9.8</v>
      </c>
      <c r="Y5" s="11">
        <v>64</v>
      </c>
      <c r="Z5" s="11">
        <v>27.59</v>
      </c>
      <c r="AA5" s="11">
        <v>65</v>
      </c>
      <c r="AB5" s="11"/>
      <c r="AC5" s="11"/>
      <c r="AD5" s="11">
        <f>AC5*0.3+AA5*0.3+Y5*0.2+W5*0.2</f>
        <v>47.9</v>
      </c>
      <c r="AE5" s="11">
        <f t="shared" si="0"/>
        <v>60.74</v>
      </c>
    </row>
    <row r="6" ht="13" spans="1:31">
      <c r="A6" s="6">
        <v>3</v>
      </c>
      <c r="B6" s="7" t="s">
        <v>15</v>
      </c>
      <c r="C6" s="8" t="s">
        <v>16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1">
        <v>80</v>
      </c>
      <c r="V6" s="12">
        <v>3.39</v>
      </c>
      <c r="W6" s="11">
        <v>76</v>
      </c>
      <c r="X6" s="12">
        <v>7.09</v>
      </c>
      <c r="Y6" s="11">
        <v>80</v>
      </c>
      <c r="Z6" s="11">
        <v>19.95</v>
      </c>
      <c r="AA6" s="11">
        <v>100</v>
      </c>
      <c r="AB6" s="11">
        <v>15.01</v>
      </c>
      <c r="AC6" s="11">
        <v>70</v>
      </c>
      <c r="AD6" s="11">
        <f t="shared" ref="AD6:AD22" si="1">AC6*0.3+AA6*0.3+Y6*0.2+W6*0.2</f>
        <v>82.2</v>
      </c>
      <c r="AE6" s="11">
        <f t="shared" si="0"/>
        <v>81.32</v>
      </c>
    </row>
    <row r="7" ht="13" spans="1:31">
      <c r="A7" s="6">
        <v>4</v>
      </c>
      <c r="B7" s="7" t="s">
        <v>17</v>
      </c>
      <c r="C7" s="8" t="s">
        <v>18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1">
        <v>100</v>
      </c>
      <c r="V7" s="12">
        <v>2.3</v>
      </c>
      <c r="W7" s="11">
        <v>70</v>
      </c>
      <c r="X7" s="12">
        <v>7.15</v>
      </c>
      <c r="Y7" s="11">
        <v>78</v>
      </c>
      <c r="Z7" s="11">
        <v>19.5</v>
      </c>
      <c r="AA7" s="11">
        <v>100</v>
      </c>
      <c r="AB7" s="11">
        <v>14.76</v>
      </c>
      <c r="AC7" s="11">
        <v>75</v>
      </c>
      <c r="AD7" s="11">
        <f t="shared" si="1"/>
        <v>82.1</v>
      </c>
      <c r="AE7" s="11">
        <f t="shared" si="0"/>
        <v>89.26</v>
      </c>
    </row>
    <row r="8" ht="13" spans="1:31">
      <c r="A8" s="6">
        <v>5</v>
      </c>
      <c r="B8" s="7" t="s">
        <v>19</v>
      </c>
      <c r="C8" s="8" t="s">
        <v>20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1">
        <v>100</v>
      </c>
      <c r="V8" s="12">
        <v>2.85</v>
      </c>
      <c r="W8" s="11">
        <v>100</v>
      </c>
      <c r="X8" s="12">
        <v>20</v>
      </c>
      <c r="Y8" s="11">
        <v>100</v>
      </c>
      <c r="Z8" s="11">
        <v>19.5</v>
      </c>
      <c r="AA8" s="11">
        <v>100</v>
      </c>
      <c r="AB8" s="11">
        <v>12.33</v>
      </c>
      <c r="AC8" s="11">
        <v>95</v>
      </c>
      <c r="AD8" s="11">
        <f t="shared" si="1"/>
        <v>98.5</v>
      </c>
      <c r="AE8" s="11">
        <f t="shared" si="0"/>
        <v>99.1</v>
      </c>
    </row>
    <row r="9" ht="13" spans="1:31">
      <c r="A9" s="6">
        <v>6</v>
      </c>
      <c r="B9" s="7" t="s">
        <v>21</v>
      </c>
      <c r="C9" s="8" t="s">
        <v>22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1">
        <v>100</v>
      </c>
      <c r="V9" s="12">
        <v>35</v>
      </c>
      <c r="W9" s="11">
        <v>68</v>
      </c>
      <c r="X9" s="12">
        <v>9.58</v>
      </c>
      <c r="Y9" s="11">
        <v>66</v>
      </c>
      <c r="Z9" s="11">
        <v>24.84</v>
      </c>
      <c r="AA9" s="11">
        <v>90</v>
      </c>
      <c r="AB9" s="11">
        <v>16.5</v>
      </c>
      <c r="AC9" s="11">
        <v>60</v>
      </c>
      <c r="AD9" s="11">
        <f t="shared" si="1"/>
        <v>71.8</v>
      </c>
      <c r="AE9" s="11">
        <f t="shared" si="0"/>
        <v>83.08</v>
      </c>
    </row>
    <row r="10" ht="13" spans="1:31">
      <c r="A10" s="6">
        <v>7</v>
      </c>
      <c r="B10" s="7" t="s">
        <v>23</v>
      </c>
      <c r="C10" s="8" t="s">
        <v>24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1">
        <v>80</v>
      </c>
      <c r="V10" s="12">
        <v>2.3</v>
      </c>
      <c r="W10" s="11">
        <v>70</v>
      </c>
      <c r="X10" s="12">
        <v>7.15</v>
      </c>
      <c r="Y10" s="11">
        <v>78</v>
      </c>
      <c r="Z10" s="11">
        <v>21.96</v>
      </c>
      <c r="AA10" s="11">
        <v>80</v>
      </c>
      <c r="AB10" s="11">
        <v>16.4</v>
      </c>
      <c r="AC10" s="11">
        <v>55</v>
      </c>
      <c r="AD10" s="11">
        <f t="shared" si="1"/>
        <v>70.1</v>
      </c>
      <c r="AE10" s="11">
        <f t="shared" ref="AE10:AE48" si="2">AD10*0.6+U10*0.4</f>
        <v>74.06</v>
      </c>
    </row>
    <row r="11" ht="13" spans="1:31">
      <c r="A11" s="6">
        <v>8</v>
      </c>
      <c r="B11" s="7" t="s">
        <v>25</v>
      </c>
      <c r="C11" s="8" t="s">
        <v>26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1">
        <v>100</v>
      </c>
      <c r="V11" s="12">
        <v>2.6</v>
      </c>
      <c r="W11" s="11">
        <v>85</v>
      </c>
      <c r="X11" s="12">
        <v>7.4</v>
      </c>
      <c r="Y11" s="11">
        <v>76</v>
      </c>
      <c r="Z11" s="11">
        <v>19.51</v>
      </c>
      <c r="AA11" s="11">
        <v>100</v>
      </c>
      <c r="AB11" s="11">
        <v>13.34</v>
      </c>
      <c r="AC11" s="11">
        <v>85</v>
      </c>
      <c r="AD11" s="11">
        <f t="shared" si="1"/>
        <v>87.7</v>
      </c>
      <c r="AE11" s="11">
        <f t="shared" si="2"/>
        <v>92.62</v>
      </c>
    </row>
    <row r="12" ht="13" spans="1:31">
      <c r="A12" s="6">
        <v>9</v>
      </c>
      <c r="B12" s="7" t="s">
        <v>27</v>
      </c>
      <c r="C12" s="8" t="s">
        <v>28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1">
        <v>76</v>
      </c>
      <c r="V12" s="12">
        <v>20</v>
      </c>
      <c r="W12" s="11">
        <v>100</v>
      </c>
      <c r="X12" s="12">
        <v>6.97</v>
      </c>
      <c r="Y12" s="11">
        <v>85</v>
      </c>
      <c r="Z12" s="11">
        <v>19.56</v>
      </c>
      <c r="AA12" s="11">
        <v>100</v>
      </c>
      <c r="AB12" s="11">
        <v>14.31</v>
      </c>
      <c r="AC12" s="11">
        <v>75</v>
      </c>
      <c r="AD12" s="11">
        <f t="shared" si="1"/>
        <v>89.5</v>
      </c>
      <c r="AE12" s="11">
        <f t="shared" si="2"/>
        <v>84.1</v>
      </c>
    </row>
    <row r="13" ht="13" spans="1:31">
      <c r="A13" s="6">
        <v>10</v>
      </c>
      <c r="B13" s="7" t="s">
        <v>29</v>
      </c>
      <c r="C13" s="8" t="s">
        <v>30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1">
        <v>100</v>
      </c>
      <c r="V13" s="12">
        <v>1.8</v>
      </c>
      <c r="W13" s="11">
        <v>78</v>
      </c>
      <c r="X13" s="12">
        <v>9.8</v>
      </c>
      <c r="Y13" s="11">
        <v>64</v>
      </c>
      <c r="Z13" s="11">
        <v>27.59</v>
      </c>
      <c r="AA13" s="11">
        <v>65</v>
      </c>
      <c r="AB13" s="11">
        <v>16.6</v>
      </c>
      <c r="AC13" s="11">
        <v>60</v>
      </c>
      <c r="AD13" s="11">
        <f t="shared" si="1"/>
        <v>65.9</v>
      </c>
      <c r="AE13" s="11">
        <f t="shared" si="2"/>
        <v>79.54</v>
      </c>
    </row>
    <row r="14" ht="13" spans="1:31">
      <c r="A14" s="6">
        <v>11</v>
      </c>
      <c r="B14" s="7" t="s">
        <v>31</v>
      </c>
      <c r="C14" s="8" t="s">
        <v>32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1">
        <v>80</v>
      </c>
      <c r="V14" s="12">
        <v>2.35</v>
      </c>
      <c r="W14" s="11">
        <v>72</v>
      </c>
      <c r="X14" s="12">
        <v>7.62</v>
      </c>
      <c r="Y14" s="11">
        <v>74</v>
      </c>
      <c r="Z14" s="11">
        <v>22.83</v>
      </c>
      <c r="AA14" s="11">
        <v>80</v>
      </c>
      <c r="AB14" s="11">
        <v>14.74</v>
      </c>
      <c r="AC14" s="11">
        <v>70</v>
      </c>
      <c r="AD14" s="11">
        <f t="shared" si="1"/>
        <v>74.2</v>
      </c>
      <c r="AE14" s="11">
        <f t="shared" si="2"/>
        <v>76.52</v>
      </c>
    </row>
    <row r="15" ht="13" spans="1:31">
      <c r="A15" s="6">
        <v>12</v>
      </c>
      <c r="B15" s="7" t="s">
        <v>33</v>
      </c>
      <c r="C15" s="8" t="s">
        <v>34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1">
        <v>84</v>
      </c>
      <c r="V15" s="12">
        <v>3.25</v>
      </c>
      <c r="W15" s="11">
        <v>90</v>
      </c>
      <c r="X15" s="12">
        <v>6.73</v>
      </c>
      <c r="Y15" s="11">
        <v>95</v>
      </c>
      <c r="Z15" s="11">
        <v>19.55</v>
      </c>
      <c r="AA15" s="11">
        <v>100</v>
      </c>
      <c r="AB15" s="11">
        <v>12.5</v>
      </c>
      <c r="AC15" s="11">
        <v>95</v>
      </c>
      <c r="AD15" s="11">
        <f t="shared" si="1"/>
        <v>95.5</v>
      </c>
      <c r="AE15" s="11">
        <f t="shared" si="2"/>
        <v>90.9</v>
      </c>
    </row>
    <row r="16" ht="13" spans="1:31">
      <c r="A16" s="6">
        <v>13</v>
      </c>
      <c r="B16" s="7" t="s">
        <v>35</v>
      </c>
      <c r="C16" s="8" t="s">
        <v>36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1">
        <v>80</v>
      </c>
      <c r="V16" s="12">
        <v>2.25</v>
      </c>
      <c r="W16" s="11">
        <v>68</v>
      </c>
      <c r="X16" s="12">
        <v>7</v>
      </c>
      <c r="Y16" s="11">
        <v>85</v>
      </c>
      <c r="Z16" s="11">
        <v>20.59</v>
      </c>
      <c r="AA16" s="11">
        <v>95</v>
      </c>
      <c r="AB16" s="11">
        <v>16.18</v>
      </c>
      <c r="AC16" s="11">
        <v>55</v>
      </c>
      <c r="AD16" s="11">
        <f t="shared" si="1"/>
        <v>75.6</v>
      </c>
      <c r="AE16" s="11">
        <f t="shared" si="2"/>
        <v>77.36</v>
      </c>
    </row>
    <row r="17" ht="13" spans="1:31">
      <c r="A17" s="6">
        <v>14</v>
      </c>
      <c r="B17" s="7" t="s">
        <v>37</v>
      </c>
      <c r="C17" s="8" t="s">
        <v>38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1">
        <v>72</v>
      </c>
      <c r="V17" s="12">
        <v>1.95</v>
      </c>
      <c r="W17" s="11">
        <v>30</v>
      </c>
      <c r="X17" s="12">
        <v>7.93</v>
      </c>
      <c r="Y17" s="11">
        <v>70</v>
      </c>
      <c r="Z17" s="11">
        <v>22.54</v>
      </c>
      <c r="AA17" s="11">
        <v>80</v>
      </c>
      <c r="AB17" s="11">
        <v>16</v>
      </c>
      <c r="AC17" s="11">
        <v>60</v>
      </c>
      <c r="AD17" s="11">
        <f t="shared" si="1"/>
        <v>62</v>
      </c>
      <c r="AE17" s="11">
        <f t="shared" si="2"/>
        <v>66</v>
      </c>
    </row>
    <row r="18" ht="13" spans="1:31">
      <c r="A18" s="6">
        <v>15</v>
      </c>
      <c r="B18" s="7" t="s">
        <v>39</v>
      </c>
      <c r="C18" s="8" t="s">
        <v>40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1">
        <v>80</v>
      </c>
      <c r="V18" s="12">
        <v>4.01</v>
      </c>
      <c r="W18" s="11">
        <v>72</v>
      </c>
      <c r="X18" s="12">
        <v>7.52</v>
      </c>
      <c r="Y18" s="11">
        <v>74</v>
      </c>
      <c r="Z18" s="11">
        <v>20.45</v>
      </c>
      <c r="AA18" s="11">
        <v>95</v>
      </c>
      <c r="AB18" s="11">
        <v>12.89</v>
      </c>
      <c r="AC18" s="11">
        <v>90</v>
      </c>
      <c r="AD18" s="11">
        <f t="shared" si="1"/>
        <v>84.7</v>
      </c>
      <c r="AE18" s="11">
        <f t="shared" si="2"/>
        <v>82.82</v>
      </c>
    </row>
    <row r="19" ht="13" spans="1:31">
      <c r="A19" s="6">
        <v>16</v>
      </c>
      <c r="B19" s="7" t="s">
        <v>41</v>
      </c>
      <c r="C19" s="8" t="s">
        <v>42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1">
        <v>84</v>
      </c>
      <c r="V19" s="12">
        <v>2.55</v>
      </c>
      <c r="W19" s="11">
        <v>80</v>
      </c>
      <c r="X19" s="12">
        <v>7.09</v>
      </c>
      <c r="Y19" s="11">
        <v>80</v>
      </c>
      <c r="Z19" s="11">
        <v>19.56</v>
      </c>
      <c r="AA19" s="11">
        <v>100</v>
      </c>
      <c r="AB19" s="11">
        <v>15.48</v>
      </c>
      <c r="AC19" s="11">
        <v>65</v>
      </c>
      <c r="AD19" s="11">
        <f t="shared" si="1"/>
        <v>81.5</v>
      </c>
      <c r="AE19" s="11">
        <f t="shared" si="2"/>
        <v>82.5</v>
      </c>
    </row>
    <row r="20" ht="13" spans="1:31">
      <c r="A20" s="6">
        <v>17</v>
      </c>
      <c r="B20" s="7" t="s">
        <v>43</v>
      </c>
      <c r="C20" s="8" t="s">
        <v>44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1">
        <v>80</v>
      </c>
      <c r="V20" s="12">
        <v>2.3</v>
      </c>
      <c r="W20" s="11">
        <v>70</v>
      </c>
      <c r="X20" s="12">
        <v>7.12</v>
      </c>
      <c r="Y20" s="11">
        <v>78</v>
      </c>
      <c r="Z20" s="11">
        <v>20.55</v>
      </c>
      <c r="AA20" s="11">
        <v>95</v>
      </c>
      <c r="AB20" s="11">
        <v>16.9</v>
      </c>
      <c r="AC20" s="11">
        <v>50</v>
      </c>
      <c r="AD20" s="11">
        <f t="shared" si="1"/>
        <v>73.1</v>
      </c>
      <c r="AE20" s="11">
        <f t="shared" si="2"/>
        <v>75.86</v>
      </c>
    </row>
    <row r="21" ht="13" spans="1:31">
      <c r="A21" s="6">
        <v>18</v>
      </c>
      <c r="B21" s="7" t="s">
        <v>45</v>
      </c>
      <c r="C21" s="8" t="s">
        <v>46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1">
        <v>88</v>
      </c>
      <c r="V21" s="12">
        <v>2.75</v>
      </c>
      <c r="W21" s="11">
        <v>100</v>
      </c>
      <c r="X21" s="12">
        <v>6.92</v>
      </c>
      <c r="Y21" s="11">
        <v>85</v>
      </c>
      <c r="Z21" s="11">
        <v>18.65</v>
      </c>
      <c r="AA21" s="11">
        <v>100</v>
      </c>
      <c r="AB21" s="11">
        <v>16.68</v>
      </c>
      <c r="AC21" s="11">
        <v>50</v>
      </c>
      <c r="AD21" s="11">
        <f t="shared" si="1"/>
        <v>82</v>
      </c>
      <c r="AE21" s="11">
        <f t="shared" si="2"/>
        <v>84.4</v>
      </c>
    </row>
    <row r="22" ht="13" spans="1:31">
      <c r="A22" s="6">
        <v>19</v>
      </c>
      <c r="B22" s="7" t="s">
        <v>47</v>
      </c>
      <c r="C22" s="8" t="s">
        <v>48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1">
        <v>100</v>
      </c>
      <c r="V22" s="12">
        <v>2.65</v>
      </c>
      <c r="W22" s="11">
        <v>90</v>
      </c>
      <c r="X22" s="12">
        <v>6.92</v>
      </c>
      <c r="Y22" s="11">
        <v>85</v>
      </c>
      <c r="Z22" s="11">
        <v>18.87</v>
      </c>
      <c r="AA22" s="11">
        <v>100</v>
      </c>
      <c r="AB22" s="11">
        <v>13.85</v>
      </c>
      <c r="AC22" s="11">
        <v>80</v>
      </c>
      <c r="AD22" s="11">
        <f t="shared" si="1"/>
        <v>89</v>
      </c>
      <c r="AE22" s="11">
        <f t="shared" si="2"/>
        <v>93.4</v>
      </c>
    </row>
    <row r="23" ht="13" spans="1:31">
      <c r="A23" s="6">
        <v>20</v>
      </c>
      <c r="B23" s="7" t="s">
        <v>49</v>
      </c>
      <c r="C23" s="8" t="s">
        <v>50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1">
        <v>80</v>
      </c>
      <c r="V23" s="12">
        <v>10</v>
      </c>
      <c r="W23" s="11">
        <v>60</v>
      </c>
      <c r="X23" s="12">
        <v>7.95</v>
      </c>
      <c r="Y23" s="11">
        <v>70</v>
      </c>
      <c r="Z23" s="11">
        <v>27.75</v>
      </c>
      <c r="AA23" s="11">
        <v>35</v>
      </c>
      <c r="AB23" s="11">
        <v>18.44</v>
      </c>
      <c r="AC23" s="11">
        <v>35</v>
      </c>
      <c r="AD23" s="11">
        <f t="shared" ref="AD23:AD39" si="3">AC23*0.3+AA23*0.3+Y23*0.2+W23*0.2</f>
        <v>47</v>
      </c>
      <c r="AE23" s="11">
        <f t="shared" si="2"/>
        <v>60.2</v>
      </c>
    </row>
    <row r="24" ht="13" spans="1:31">
      <c r="A24" s="6">
        <v>21</v>
      </c>
      <c r="B24" s="7" t="s">
        <v>51</v>
      </c>
      <c r="C24" s="8" t="s">
        <v>52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1">
        <v>80</v>
      </c>
      <c r="V24" s="12">
        <v>2.4</v>
      </c>
      <c r="W24" s="11">
        <v>76</v>
      </c>
      <c r="X24" s="12">
        <v>7.11</v>
      </c>
      <c r="Y24" s="11">
        <v>78</v>
      </c>
      <c r="Z24" s="11">
        <v>19.21</v>
      </c>
      <c r="AA24" s="11">
        <v>100</v>
      </c>
      <c r="AB24" s="11">
        <v>14.21</v>
      </c>
      <c r="AC24" s="11">
        <v>75</v>
      </c>
      <c r="AD24" s="11">
        <f t="shared" si="3"/>
        <v>83.3</v>
      </c>
      <c r="AE24" s="11">
        <f t="shared" si="2"/>
        <v>81.98</v>
      </c>
    </row>
    <row r="25" ht="13" spans="1:31">
      <c r="A25" s="6">
        <v>22</v>
      </c>
      <c r="B25" s="7" t="s">
        <v>53</v>
      </c>
      <c r="C25" s="8" t="s">
        <v>54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1">
        <v>84</v>
      </c>
      <c r="V25" s="12">
        <v>2.2</v>
      </c>
      <c r="W25" s="11">
        <v>66</v>
      </c>
      <c r="X25" s="12">
        <v>7.31</v>
      </c>
      <c r="Y25" s="11">
        <v>76</v>
      </c>
      <c r="Z25" s="11">
        <v>20.31</v>
      </c>
      <c r="AA25" s="11">
        <v>95</v>
      </c>
      <c r="AB25" s="11">
        <v>15.81</v>
      </c>
      <c r="AC25" s="11">
        <v>60</v>
      </c>
      <c r="AD25" s="11">
        <f t="shared" si="3"/>
        <v>74.9</v>
      </c>
      <c r="AE25" s="11">
        <f t="shared" si="2"/>
        <v>78.54</v>
      </c>
    </row>
    <row r="26" ht="13" spans="1:31">
      <c r="A26" s="6">
        <v>23</v>
      </c>
      <c r="B26" s="7" t="s">
        <v>55</v>
      </c>
      <c r="C26" s="8" t="s">
        <v>56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1">
        <v>80</v>
      </c>
      <c r="V26" s="12">
        <v>15</v>
      </c>
      <c r="W26" s="11">
        <v>80</v>
      </c>
      <c r="X26" s="13">
        <v>7.2</v>
      </c>
      <c r="Y26" s="11">
        <v>78</v>
      </c>
      <c r="Z26" s="11">
        <v>22.45</v>
      </c>
      <c r="AA26" s="11">
        <v>75</v>
      </c>
      <c r="AB26" s="11">
        <v>15.01</v>
      </c>
      <c r="AC26" s="11">
        <v>70</v>
      </c>
      <c r="AD26" s="11">
        <f t="shared" si="3"/>
        <v>75.1</v>
      </c>
      <c r="AE26" s="11">
        <f t="shared" si="2"/>
        <v>77.06</v>
      </c>
    </row>
    <row r="27" ht="13" spans="1:31">
      <c r="A27" s="6">
        <v>24</v>
      </c>
      <c r="B27" s="7" t="s">
        <v>57</v>
      </c>
      <c r="C27" s="8" t="s">
        <v>58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1">
        <v>76</v>
      </c>
      <c r="V27" s="12">
        <v>2.5</v>
      </c>
      <c r="W27" s="11">
        <v>80</v>
      </c>
      <c r="X27" s="12">
        <v>20</v>
      </c>
      <c r="Y27" s="11">
        <v>100</v>
      </c>
      <c r="Z27" s="11">
        <v>18.87</v>
      </c>
      <c r="AA27" s="11">
        <v>100</v>
      </c>
      <c r="AB27" s="11">
        <v>15.25</v>
      </c>
      <c r="AC27" s="11">
        <v>65</v>
      </c>
      <c r="AD27" s="11">
        <f t="shared" si="3"/>
        <v>85.5</v>
      </c>
      <c r="AE27" s="11">
        <f t="shared" si="2"/>
        <v>81.7</v>
      </c>
    </row>
    <row r="28" ht="13" spans="1:31">
      <c r="A28" s="6">
        <v>25</v>
      </c>
      <c r="B28" s="7" t="s">
        <v>59</v>
      </c>
      <c r="C28" s="8" t="s">
        <v>60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1">
        <v>80</v>
      </c>
      <c r="V28" s="12">
        <v>3.35</v>
      </c>
      <c r="W28" s="11">
        <v>80</v>
      </c>
      <c r="X28" s="12">
        <v>6.98</v>
      </c>
      <c r="Y28" s="11">
        <v>85</v>
      </c>
      <c r="Z28" s="11">
        <v>20.46</v>
      </c>
      <c r="AA28" s="11">
        <v>95</v>
      </c>
      <c r="AB28" s="11">
        <v>15.43</v>
      </c>
      <c r="AC28" s="11">
        <v>65</v>
      </c>
      <c r="AD28" s="11">
        <f t="shared" si="3"/>
        <v>81</v>
      </c>
      <c r="AE28" s="11">
        <f t="shared" si="2"/>
        <v>80.6</v>
      </c>
    </row>
    <row r="29" ht="13" spans="1:31">
      <c r="A29" s="6">
        <v>26</v>
      </c>
      <c r="B29" s="7" t="s">
        <v>61</v>
      </c>
      <c r="C29" s="8" t="s">
        <v>62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1">
        <v>92</v>
      </c>
      <c r="V29" s="12">
        <v>2</v>
      </c>
      <c r="W29" s="11">
        <v>90</v>
      </c>
      <c r="X29" s="12">
        <v>7.41</v>
      </c>
      <c r="Y29" s="11">
        <v>76</v>
      </c>
      <c r="Z29" s="11">
        <v>20.07</v>
      </c>
      <c r="AA29" s="11">
        <v>95</v>
      </c>
      <c r="AB29" s="11"/>
      <c r="AC29" s="11"/>
      <c r="AD29" s="11">
        <f t="shared" si="3"/>
        <v>61.7</v>
      </c>
      <c r="AE29" s="11">
        <f t="shared" si="2"/>
        <v>73.82</v>
      </c>
    </row>
    <row r="30" ht="13" spans="1:31">
      <c r="A30" s="6">
        <v>27</v>
      </c>
      <c r="B30" s="7" t="s">
        <v>63</v>
      </c>
      <c r="C30" s="8" t="s">
        <v>64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1">
        <v>84</v>
      </c>
      <c r="V30" s="12">
        <v>2.3</v>
      </c>
      <c r="W30" s="11">
        <v>70</v>
      </c>
      <c r="X30" s="12">
        <v>7.28</v>
      </c>
      <c r="Y30" s="11">
        <v>78</v>
      </c>
      <c r="Z30" s="11">
        <v>20.33</v>
      </c>
      <c r="AA30" s="11">
        <v>95</v>
      </c>
      <c r="AB30" s="11">
        <v>18.4</v>
      </c>
      <c r="AC30" s="11">
        <v>35</v>
      </c>
      <c r="AD30" s="11">
        <f t="shared" si="3"/>
        <v>68.6</v>
      </c>
      <c r="AE30" s="11">
        <f t="shared" si="2"/>
        <v>74.76</v>
      </c>
    </row>
    <row r="31" ht="13" spans="1:31">
      <c r="A31" s="6">
        <v>28</v>
      </c>
      <c r="B31" s="7" t="s">
        <v>65</v>
      </c>
      <c r="C31" s="8" t="s">
        <v>66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1">
        <v>92</v>
      </c>
      <c r="V31" s="12">
        <v>2.35</v>
      </c>
      <c r="W31" s="11">
        <v>75</v>
      </c>
      <c r="X31" s="12">
        <v>13</v>
      </c>
      <c r="Y31" s="11">
        <v>72</v>
      </c>
      <c r="Z31" s="11">
        <v>21.63</v>
      </c>
      <c r="AA31" s="11">
        <v>85</v>
      </c>
      <c r="AB31" s="11">
        <v>14.73</v>
      </c>
      <c r="AC31" s="11">
        <v>65</v>
      </c>
      <c r="AD31" s="11">
        <f t="shared" si="3"/>
        <v>74.4</v>
      </c>
      <c r="AE31" s="11">
        <f t="shared" si="2"/>
        <v>81.44</v>
      </c>
    </row>
    <row r="32" ht="13" spans="1:31">
      <c r="A32" s="6">
        <v>29</v>
      </c>
      <c r="B32" s="7" t="s">
        <v>67</v>
      </c>
      <c r="C32" s="8" t="s">
        <v>68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11">
        <v>84</v>
      </c>
      <c r="V32" s="12">
        <v>4.16</v>
      </c>
      <c r="W32" s="11">
        <v>68</v>
      </c>
      <c r="X32" s="12">
        <v>8.11</v>
      </c>
      <c r="Y32" s="11">
        <v>68</v>
      </c>
      <c r="Z32" s="11">
        <v>21.25</v>
      </c>
      <c r="AA32" s="11">
        <v>85</v>
      </c>
      <c r="AB32" s="11">
        <v>16.6</v>
      </c>
      <c r="AC32" s="11">
        <v>50</v>
      </c>
      <c r="AD32" s="11">
        <f t="shared" si="3"/>
        <v>67.7</v>
      </c>
      <c r="AE32" s="11">
        <f t="shared" si="2"/>
        <v>74.22</v>
      </c>
    </row>
    <row r="33" ht="13" spans="1:31">
      <c r="A33" s="6">
        <v>30</v>
      </c>
      <c r="B33" s="7" t="s">
        <v>69</v>
      </c>
      <c r="C33" s="8" t="s">
        <v>70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1">
        <v>92</v>
      </c>
      <c r="V33" s="12">
        <v>2.3</v>
      </c>
      <c r="W33" s="11">
        <v>70</v>
      </c>
      <c r="X33" s="12">
        <v>7.18</v>
      </c>
      <c r="Y33" s="11">
        <v>78</v>
      </c>
      <c r="Z33" s="11">
        <v>20.46</v>
      </c>
      <c r="AA33" s="11">
        <v>95</v>
      </c>
      <c r="AB33" s="11"/>
      <c r="AC33" s="11"/>
      <c r="AD33" s="11">
        <f t="shared" si="3"/>
        <v>58.1</v>
      </c>
      <c r="AE33" s="11">
        <f t="shared" si="2"/>
        <v>71.66</v>
      </c>
    </row>
    <row r="34" ht="13" spans="1:31">
      <c r="A34" s="6">
        <v>31</v>
      </c>
      <c r="B34" s="7" t="s">
        <v>71</v>
      </c>
      <c r="C34" s="8" t="s">
        <v>72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1">
        <v>96</v>
      </c>
      <c r="V34" s="12">
        <v>3.49</v>
      </c>
      <c r="W34" s="11">
        <v>72</v>
      </c>
      <c r="X34" s="12">
        <v>7.37</v>
      </c>
      <c r="Y34" s="11">
        <v>76</v>
      </c>
      <c r="Z34" s="11">
        <v>19.75</v>
      </c>
      <c r="AA34" s="11">
        <v>100</v>
      </c>
      <c r="AB34" s="11">
        <v>14.05</v>
      </c>
      <c r="AC34" s="11">
        <v>80</v>
      </c>
      <c r="AD34" s="11">
        <f t="shared" si="3"/>
        <v>83.6</v>
      </c>
      <c r="AE34" s="11">
        <f t="shared" si="2"/>
        <v>88.56</v>
      </c>
    </row>
    <row r="35" ht="13" spans="1:31">
      <c r="A35" s="6">
        <v>32</v>
      </c>
      <c r="B35" s="7" t="s">
        <v>73</v>
      </c>
      <c r="C35" s="8" t="s">
        <v>74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1">
        <v>92</v>
      </c>
      <c r="V35" s="12">
        <v>2.55</v>
      </c>
      <c r="W35" s="11">
        <v>80</v>
      </c>
      <c r="X35" s="12">
        <v>21</v>
      </c>
      <c r="Y35" s="11">
        <v>100</v>
      </c>
      <c r="Z35" s="11">
        <v>19.93</v>
      </c>
      <c r="AA35" s="11">
        <v>100</v>
      </c>
      <c r="AB35" s="11">
        <v>15.5</v>
      </c>
      <c r="AC35" s="11">
        <v>65</v>
      </c>
      <c r="AD35" s="11">
        <f t="shared" si="3"/>
        <v>85.5</v>
      </c>
      <c r="AE35" s="11">
        <f t="shared" si="2"/>
        <v>88.1</v>
      </c>
    </row>
    <row r="36" ht="13" spans="1:31">
      <c r="A36" s="6">
        <v>33</v>
      </c>
      <c r="B36" s="7" t="s">
        <v>75</v>
      </c>
      <c r="C36" s="8" t="s">
        <v>76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1">
        <v>96</v>
      </c>
      <c r="V36" s="12">
        <v>1.82</v>
      </c>
      <c r="W36" s="11">
        <v>80</v>
      </c>
      <c r="X36" s="12">
        <v>8.76</v>
      </c>
      <c r="Y36" s="11">
        <v>74</v>
      </c>
      <c r="Z36" s="11">
        <v>20.49</v>
      </c>
      <c r="AA36" s="11">
        <v>100</v>
      </c>
      <c r="AB36" s="11">
        <v>15.77</v>
      </c>
      <c r="AC36" s="11">
        <v>65</v>
      </c>
      <c r="AD36" s="11">
        <f t="shared" si="3"/>
        <v>80.3</v>
      </c>
      <c r="AE36" s="11">
        <f t="shared" si="2"/>
        <v>86.58</v>
      </c>
    </row>
    <row r="37" ht="13" spans="1:31">
      <c r="A37" s="6">
        <v>34</v>
      </c>
      <c r="B37" s="7" t="s">
        <v>77</v>
      </c>
      <c r="C37" s="8" t="s">
        <v>78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1">
        <v>82</v>
      </c>
      <c r="V37" s="12">
        <v>2.15</v>
      </c>
      <c r="W37" s="11">
        <v>62</v>
      </c>
      <c r="X37" s="12">
        <v>7.12</v>
      </c>
      <c r="Y37" s="11">
        <v>78</v>
      </c>
      <c r="Z37" s="11">
        <v>20.34</v>
      </c>
      <c r="AA37" s="11">
        <v>100</v>
      </c>
      <c r="AB37" s="11">
        <v>13.21</v>
      </c>
      <c r="AC37" s="11">
        <v>85</v>
      </c>
      <c r="AD37" s="11">
        <f t="shared" si="3"/>
        <v>83.5</v>
      </c>
      <c r="AE37" s="11">
        <f t="shared" si="2"/>
        <v>82.9</v>
      </c>
    </row>
    <row r="38" ht="13" spans="1:31">
      <c r="A38" s="6">
        <v>35</v>
      </c>
      <c r="B38" s="7" t="s">
        <v>79</v>
      </c>
      <c r="C38" s="8" t="s">
        <v>80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1">
        <v>76</v>
      </c>
      <c r="V38" s="12">
        <v>1.85</v>
      </c>
      <c r="W38" s="11">
        <v>80</v>
      </c>
      <c r="X38" s="12">
        <v>9.47</v>
      </c>
      <c r="Y38" s="11">
        <v>68</v>
      </c>
      <c r="Z38" s="11">
        <v>23.85</v>
      </c>
      <c r="AA38" s="11">
        <v>95</v>
      </c>
      <c r="AB38" s="11">
        <v>16.38</v>
      </c>
      <c r="AC38" s="11">
        <v>60</v>
      </c>
      <c r="AD38" s="11">
        <f t="shared" si="3"/>
        <v>76.1</v>
      </c>
      <c r="AE38" s="11">
        <f t="shared" si="2"/>
        <v>76.06</v>
      </c>
    </row>
    <row r="39" ht="13" spans="1:31">
      <c r="A39" s="6">
        <v>36</v>
      </c>
      <c r="B39" s="7" t="s">
        <v>81</v>
      </c>
      <c r="C39" s="8" t="s">
        <v>82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1">
        <v>84</v>
      </c>
      <c r="V39" s="13">
        <v>2.3</v>
      </c>
      <c r="W39" s="11">
        <v>70</v>
      </c>
      <c r="X39" s="12">
        <v>7.16</v>
      </c>
      <c r="Y39" s="11">
        <v>78</v>
      </c>
      <c r="Z39" s="11">
        <v>19.73</v>
      </c>
      <c r="AA39" s="11">
        <v>100</v>
      </c>
      <c r="AB39" s="11">
        <v>13.05</v>
      </c>
      <c r="AC39" s="11">
        <v>90</v>
      </c>
      <c r="AD39" s="11">
        <f t="shared" si="3"/>
        <v>86.6</v>
      </c>
      <c r="AE39" s="11">
        <f t="shared" si="2"/>
        <v>85.56</v>
      </c>
    </row>
    <row r="40" ht="13" spans="1:31">
      <c r="A40" s="6">
        <v>37</v>
      </c>
      <c r="B40" s="7" t="s">
        <v>83</v>
      </c>
      <c r="C40" s="8" t="s">
        <v>84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>
        <v>88</v>
      </c>
      <c r="V40" s="12">
        <v>2.52</v>
      </c>
      <c r="W40" s="11">
        <v>80</v>
      </c>
      <c r="X40" s="12">
        <v>7.23</v>
      </c>
      <c r="Y40" s="11">
        <v>78</v>
      </c>
      <c r="Z40" s="11">
        <v>21.63</v>
      </c>
      <c r="AA40" s="11">
        <v>85</v>
      </c>
      <c r="AB40" s="11">
        <v>14.25</v>
      </c>
      <c r="AC40" s="11">
        <v>75</v>
      </c>
      <c r="AD40" s="11">
        <f t="shared" ref="AD40:AD59" si="4">AC40*0.3+AA40*0.3+Y40*0.2+W40*0.2</f>
        <v>79.6</v>
      </c>
      <c r="AE40" s="11">
        <f t="shared" si="2"/>
        <v>82.96</v>
      </c>
    </row>
    <row r="41" ht="13" spans="1:31">
      <c r="A41" s="6">
        <v>38</v>
      </c>
      <c r="B41" s="7" t="s">
        <v>85</v>
      </c>
      <c r="C41" s="8" t="s">
        <v>86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1">
        <v>92</v>
      </c>
      <c r="V41" s="13">
        <v>2.2</v>
      </c>
      <c r="W41" s="11">
        <v>66</v>
      </c>
      <c r="X41" s="12">
        <v>6.91</v>
      </c>
      <c r="Y41" s="11">
        <v>85</v>
      </c>
      <c r="Z41" s="15">
        <v>20.1</v>
      </c>
      <c r="AA41" s="11">
        <v>95</v>
      </c>
      <c r="AB41" s="11">
        <v>17.69</v>
      </c>
      <c r="AC41" s="11">
        <v>40</v>
      </c>
      <c r="AD41" s="11">
        <f t="shared" si="4"/>
        <v>70.7</v>
      </c>
      <c r="AE41" s="11">
        <f t="shared" si="2"/>
        <v>79.22</v>
      </c>
    </row>
    <row r="42" ht="13" spans="1:31">
      <c r="A42" s="6">
        <v>39</v>
      </c>
      <c r="B42" s="7" t="s">
        <v>87</v>
      </c>
      <c r="C42" s="8" t="s">
        <v>88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11">
        <v>88</v>
      </c>
      <c r="V42" s="13">
        <v>2.1</v>
      </c>
      <c r="W42" s="11">
        <v>60</v>
      </c>
      <c r="X42" s="12">
        <v>6.82</v>
      </c>
      <c r="Y42" s="11">
        <v>90</v>
      </c>
      <c r="Z42" s="11">
        <v>20.14</v>
      </c>
      <c r="AA42" s="11">
        <v>95</v>
      </c>
      <c r="AB42" s="11">
        <v>12.53</v>
      </c>
      <c r="AC42" s="11">
        <v>95</v>
      </c>
      <c r="AD42" s="11">
        <f t="shared" si="4"/>
        <v>87</v>
      </c>
      <c r="AE42" s="11">
        <f t="shared" si="2"/>
        <v>87.4</v>
      </c>
    </row>
    <row r="43" ht="13" spans="1:31">
      <c r="A43" s="6">
        <v>40</v>
      </c>
      <c r="B43" s="7" t="s">
        <v>89</v>
      </c>
      <c r="C43" s="8" t="s">
        <v>90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11">
        <v>88</v>
      </c>
      <c r="V43" s="12">
        <v>3.17</v>
      </c>
      <c r="W43" s="11">
        <v>100</v>
      </c>
      <c r="X43" s="12">
        <v>6.96</v>
      </c>
      <c r="Y43" s="11">
        <v>85</v>
      </c>
      <c r="Z43" s="11">
        <v>18.81</v>
      </c>
      <c r="AA43" s="11">
        <v>100</v>
      </c>
      <c r="AB43" s="11">
        <v>14.25</v>
      </c>
      <c r="AC43" s="11">
        <v>75</v>
      </c>
      <c r="AD43" s="11">
        <f t="shared" si="4"/>
        <v>89.5</v>
      </c>
      <c r="AE43" s="11">
        <f t="shared" si="2"/>
        <v>88.9</v>
      </c>
    </row>
    <row r="44" ht="13" spans="1:31">
      <c r="A44" s="6">
        <v>41</v>
      </c>
      <c r="B44" s="7" t="s">
        <v>91</v>
      </c>
      <c r="C44" s="8" t="s">
        <v>92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11">
        <v>96</v>
      </c>
      <c r="V44" s="12">
        <v>1.85</v>
      </c>
      <c r="W44" s="11">
        <v>80</v>
      </c>
      <c r="X44" s="12">
        <v>9.47</v>
      </c>
      <c r="Y44" s="11">
        <v>68</v>
      </c>
      <c r="Z44" s="11">
        <v>25.18</v>
      </c>
      <c r="AA44" s="11">
        <v>85</v>
      </c>
      <c r="AB44" s="11">
        <v>15.65</v>
      </c>
      <c r="AC44" s="11">
        <v>65</v>
      </c>
      <c r="AD44" s="11">
        <f t="shared" si="4"/>
        <v>74.6</v>
      </c>
      <c r="AE44" s="11">
        <f t="shared" si="2"/>
        <v>83.16</v>
      </c>
    </row>
    <row r="45" ht="13" spans="1:31">
      <c r="A45" s="6">
        <v>42</v>
      </c>
      <c r="B45" s="7" t="s">
        <v>93</v>
      </c>
      <c r="C45" s="8" t="s">
        <v>94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11">
        <v>100</v>
      </c>
      <c r="V45" s="12">
        <v>35</v>
      </c>
      <c r="W45" s="11">
        <v>68</v>
      </c>
      <c r="X45" s="12">
        <v>9.89</v>
      </c>
      <c r="Y45" s="11">
        <v>64</v>
      </c>
      <c r="Z45" s="11">
        <v>27.47</v>
      </c>
      <c r="AA45" s="11">
        <v>65</v>
      </c>
      <c r="AB45" s="11">
        <v>17.14</v>
      </c>
      <c r="AC45" s="11">
        <v>50</v>
      </c>
      <c r="AD45" s="11">
        <f t="shared" si="4"/>
        <v>60.9</v>
      </c>
      <c r="AE45" s="11">
        <f t="shared" si="2"/>
        <v>76.54</v>
      </c>
    </row>
    <row r="46" ht="13" spans="1:31">
      <c r="A46" s="6">
        <v>43</v>
      </c>
      <c r="B46" s="7" t="s">
        <v>95</v>
      </c>
      <c r="C46" s="8" t="s">
        <v>96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11">
        <v>76</v>
      </c>
      <c r="V46" s="12">
        <v>2.72</v>
      </c>
      <c r="W46" s="11">
        <v>95</v>
      </c>
      <c r="X46" s="12">
        <v>6.47</v>
      </c>
      <c r="Y46" s="11">
        <v>100</v>
      </c>
      <c r="Z46" s="15">
        <v>18.8</v>
      </c>
      <c r="AA46" s="11">
        <v>100</v>
      </c>
      <c r="AB46" s="11">
        <v>11.98</v>
      </c>
      <c r="AC46" s="11">
        <v>100</v>
      </c>
      <c r="AD46" s="11">
        <f t="shared" si="4"/>
        <v>99</v>
      </c>
      <c r="AE46" s="11">
        <f t="shared" si="2"/>
        <v>89.8</v>
      </c>
    </row>
    <row r="47" ht="13" spans="1:31">
      <c r="A47" s="6">
        <v>44</v>
      </c>
      <c r="B47" s="7" t="s">
        <v>97</v>
      </c>
      <c r="C47" s="8" t="s">
        <v>98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11">
        <v>84</v>
      </c>
      <c r="V47" s="12">
        <v>2.2</v>
      </c>
      <c r="W47" s="11">
        <v>66</v>
      </c>
      <c r="X47" s="12">
        <v>7.03</v>
      </c>
      <c r="Y47" s="11">
        <v>80</v>
      </c>
      <c r="Z47" s="11">
        <v>21.01</v>
      </c>
      <c r="AA47" s="11">
        <v>90</v>
      </c>
      <c r="AB47" s="15">
        <v>15.2</v>
      </c>
      <c r="AC47" s="11">
        <v>70</v>
      </c>
      <c r="AD47" s="11">
        <f t="shared" si="4"/>
        <v>77.2</v>
      </c>
      <c r="AE47" s="11">
        <f t="shared" si="2"/>
        <v>79.92</v>
      </c>
    </row>
    <row r="48" ht="13" spans="1:31">
      <c r="A48" s="6">
        <v>46</v>
      </c>
      <c r="B48" s="7" t="s">
        <v>99</v>
      </c>
      <c r="C48" s="8" t="s">
        <v>100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1">
        <v>100</v>
      </c>
      <c r="V48" s="12">
        <v>5.27</v>
      </c>
      <c r="W48" s="11">
        <v>40</v>
      </c>
      <c r="X48" s="12">
        <v>7.83</v>
      </c>
      <c r="Y48" s="11">
        <v>72</v>
      </c>
      <c r="Z48" s="11">
        <v>24.41</v>
      </c>
      <c r="AA48" s="11">
        <v>60</v>
      </c>
      <c r="AB48" s="11"/>
      <c r="AC48" s="11"/>
      <c r="AD48" s="11">
        <f t="shared" si="4"/>
        <v>40.4</v>
      </c>
      <c r="AE48" s="11">
        <f t="shared" si="2"/>
        <v>64.24</v>
      </c>
    </row>
    <row r="49" ht="13" spans="1:31">
      <c r="A49" s="6">
        <v>47</v>
      </c>
      <c r="B49" s="7" t="s">
        <v>101</v>
      </c>
      <c r="C49" s="8" t="s">
        <v>102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11">
        <v>82</v>
      </c>
      <c r="V49" s="12">
        <v>21</v>
      </c>
      <c r="W49" s="11">
        <v>100</v>
      </c>
      <c r="X49" s="12">
        <v>7.03</v>
      </c>
      <c r="Y49" s="11">
        <v>80</v>
      </c>
      <c r="Z49" s="15">
        <v>19.5</v>
      </c>
      <c r="AA49" s="11">
        <v>100</v>
      </c>
      <c r="AB49" s="11">
        <v>13.54</v>
      </c>
      <c r="AC49" s="11">
        <v>80</v>
      </c>
      <c r="AD49" s="11">
        <f t="shared" si="4"/>
        <v>90</v>
      </c>
      <c r="AE49" s="11">
        <f t="shared" ref="AE49:AE59" si="5">AD49*0.6+U49*0.4</f>
        <v>86.8</v>
      </c>
    </row>
    <row r="50" ht="13" spans="1:31">
      <c r="A50" s="6">
        <v>48</v>
      </c>
      <c r="B50" s="7" t="s">
        <v>103</v>
      </c>
      <c r="C50" s="8" t="s">
        <v>104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11">
        <v>100</v>
      </c>
      <c r="V50" s="12">
        <v>2.2</v>
      </c>
      <c r="W50" s="11">
        <v>66</v>
      </c>
      <c r="X50" s="13">
        <v>7.5</v>
      </c>
      <c r="Y50" s="11">
        <v>76</v>
      </c>
      <c r="Z50" s="11">
        <v>22.42</v>
      </c>
      <c r="AA50" s="11">
        <v>75</v>
      </c>
      <c r="AB50" s="11"/>
      <c r="AC50" s="11"/>
      <c r="AD50" s="11">
        <f t="shared" si="4"/>
        <v>50.9</v>
      </c>
      <c r="AE50" s="11">
        <f t="shared" si="5"/>
        <v>70.54</v>
      </c>
    </row>
    <row r="51" ht="13" spans="1:31">
      <c r="A51" s="6">
        <v>49</v>
      </c>
      <c r="B51" s="7" t="s">
        <v>105</v>
      </c>
      <c r="C51" s="8" t="s">
        <v>106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11">
        <v>72</v>
      </c>
      <c r="V51" s="12">
        <v>3.59</v>
      </c>
      <c r="W51" s="11">
        <v>72</v>
      </c>
      <c r="X51" s="12">
        <v>9.86</v>
      </c>
      <c r="Y51" s="11">
        <v>64</v>
      </c>
      <c r="Z51" s="11">
        <v>24.56</v>
      </c>
      <c r="AA51" s="11">
        <v>90</v>
      </c>
      <c r="AB51" s="11">
        <v>16.5</v>
      </c>
      <c r="AC51" s="11">
        <v>60</v>
      </c>
      <c r="AD51" s="11">
        <f t="shared" si="4"/>
        <v>72.2</v>
      </c>
      <c r="AE51" s="11">
        <f t="shared" si="5"/>
        <v>72.12</v>
      </c>
    </row>
    <row r="52" ht="13" spans="1:31">
      <c r="A52" s="6">
        <v>50</v>
      </c>
      <c r="B52" s="7" t="s">
        <v>107</v>
      </c>
      <c r="C52" s="8" t="s">
        <v>108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11">
        <v>88</v>
      </c>
      <c r="V52" s="12">
        <v>39</v>
      </c>
      <c r="W52" s="11">
        <v>72</v>
      </c>
      <c r="X52" s="12">
        <v>9.4</v>
      </c>
      <c r="Y52" s="11">
        <v>68</v>
      </c>
      <c r="Z52" s="11">
        <v>24.69</v>
      </c>
      <c r="AA52" s="11">
        <v>90</v>
      </c>
      <c r="AB52" s="11">
        <v>16.5</v>
      </c>
      <c r="AC52" s="11">
        <v>60</v>
      </c>
      <c r="AD52" s="11">
        <f t="shared" si="4"/>
        <v>73</v>
      </c>
      <c r="AE52" s="11">
        <f t="shared" si="5"/>
        <v>79</v>
      </c>
    </row>
    <row r="53" ht="13" spans="1:31">
      <c r="A53" s="6">
        <v>51</v>
      </c>
      <c r="B53" s="7" t="s">
        <v>109</v>
      </c>
      <c r="C53" s="8" t="s">
        <v>110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11">
        <v>92</v>
      </c>
      <c r="V53" s="12">
        <v>2.2</v>
      </c>
      <c r="W53" s="11">
        <v>100</v>
      </c>
      <c r="X53" s="12">
        <v>8.69</v>
      </c>
      <c r="Y53" s="11">
        <v>76</v>
      </c>
      <c r="Z53" s="11">
        <v>23.85</v>
      </c>
      <c r="AA53" s="11">
        <v>95</v>
      </c>
      <c r="AB53" s="11">
        <v>18.5</v>
      </c>
      <c r="AC53" s="11">
        <v>40</v>
      </c>
      <c r="AD53" s="11">
        <f t="shared" si="4"/>
        <v>75.7</v>
      </c>
      <c r="AE53" s="11">
        <f t="shared" si="5"/>
        <v>82.22</v>
      </c>
    </row>
    <row r="54" spans="1:31">
      <c r="A54" s="6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11"/>
      <c r="V54" s="12"/>
      <c r="W54" s="11"/>
      <c r="X54" s="12"/>
      <c r="Y54" s="11"/>
      <c r="Z54" s="11"/>
      <c r="AA54" s="11"/>
      <c r="AB54" s="11"/>
      <c r="AC54" s="11"/>
      <c r="AD54" s="11">
        <f t="shared" si="4"/>
        <v>0</v>
      </c>
      <c r="AE54" s="11">
        <f t="shared" si="5"/>
        <v>0</v>
      </c>
    </row>
    <row r="55" spans="1:31">
      <c r="A55" s="6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11"/>
      <c r="V55" s="12"/>
      <c r="W55" s="11"/>
      <c r="X55" s="12"/>
      <c r="Y55" s="11"/>
      <c r="Z55" s="11"/>
      <c r="AA55" s="11"/>
      <c r="AB55" s="11"/>
      <c r="AC55" s="11"/>
      <c r="AD55" s="11">
        <f t="shared" si="4"/>
        <v>0</v>
      </c>
      <c r="AE55" s="11">
        <f t="shared" si="5"/>
        <v>0</v>
      </c>
    </row>
    <row r="56" spans="1:31">
      <c r="A56" s="6">
        <v>54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1"/>
      <c r="V56" s="12"/>
      <c r="W56" s="11"/>
      <c r="X56" s="12"/>
      <c r="Y56" s="11"/>
      <c r="Z56" s="11"/>
      <c r="AA56" s="11"/>
      <c r="AB56" s="11"/>
      <c r="AC56" s="11"/>
      <c r="AD56" s="11">
        <f t="shared" si="4"/>
        <v>0</v>
      </c>
      <c r="AE56" s="11">
        <f t="shared" si="5"/>
        <v>0</v>
      </c>
    </row>
    <row r="57" spans="1:31">
      <c r="A57" s="6">
        <v>55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1"/>
      <c r="V57" s="12"/>
      <c r="W57" s="11"/>
      <c r="X57" s="12"/>
      <c r="Y57" s="11"/>
      <c r="Z57" s="11"/>
      <c r="AA57" s="11"/>
      <c r="AB57" s="11"/>
      <c r="AC57" s="11"/>
      <c r="AD57" s="11">
        <f t="shared" si="4"/>
        <v>0</v>
      </c>
      <c r="AE57" s="11">
        <f t="shared" si="5"/>
        <v>0</v>
      </c>
    </row>
    <row r="58" spans="1:31">
      <c r="A58" s="6">
        <v>56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11"/>
      <c r="V58" s="12"/>
      <c r="W58" s="11"/>
      <c r="X58" s="12"/>
      <c r="Y58" s="11"/>
      <c r="Z58" s="11"/>
      <c r="AA58" s="11"/>
      <c r="AB58" s="11"/>
      <c r="AC58" s="11"/>
      <c r="AD58" s="11">
        <f t="shared" si="4"/>
        <v>0</v>
      </c>
      <c r="AE58" s="11">
        <f t="shared" si="5"/>
        <v>0</v>
      </c>
    </row>
    <row r="59" spans="1:31">
      <c r="A59" s="6">
        <v>57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1"/>
      <c r="V59" s="12"/>
      <c r="W59" s="11"/>
      <c r="X59" s="12"/>
      <c r="Y59" s="11"/>
      <c r="Z59" s="11"/>
      <c r="AA59" s="11"/>
      <c r="AB59" s="11"/>
      <c r="AC59" s="11"/>
      <c r="AD59" s="11">
        <f t="shared" si="4"/>
        <v>0</v>
      </c>
      <c r="AE59" s="11">
        <f t="shared" si="5"/>
        <v>0</v>
      </c>
    </row>
  </sheetData>
  <mergeCells count="7">
    <mergeCell ref="A1:AE1"/>
    <mergeCell ref="A2:A3"/>
    <mergeCell ref="B2:B3"/>
    <mergeCell ref="C2:C3"/>
    <mergeCell ref="U2:U3"/>
    <mergeCell ref="AD2:AD3"/>
    <mergeCell ref="AE2:AE3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卿颜</dc:creator>
  <cp:lastModifiedBy>空城旧梦</cp:lastModifiedBy>
  <dcterms:created xsi:type="dcterms:W3CDTF">2023-06-30T04:45:00Z</dcterms:created>
  <dcterms:modified xsi:type="dcterms:W3CDTF">2024-06-25T07:40:27Z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254D4CD7D72E421F9D84FAD89ED21F62_13</vt:lpwstr>
  </property>
</Properties>
</file>